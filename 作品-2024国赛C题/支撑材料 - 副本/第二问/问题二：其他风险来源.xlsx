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310" windowHeight="44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<sst xmlns="http://schemas.openxmlformats.org/spreadsheetml/2006/main" count="6" uniqueCount="6">
  <si>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平均值</t>
  </si>
  <si>
    <t>受灾面积</t>
  </si>
  <si>
    <t>成灾面积</t>
  </si>
  <si>
    <t>绝收面积</t>
  </si>
  <si>
    <t>耕作面积</t>
  </si>
  <si>
    <t>灾害损失率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</si>
</sst>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Arial"/>
      <charset val="134"/>
    </font>
    <font>
      <sz val="9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FF2CF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A7" sqref="A7"/>
    </sheetView>
  </sheetViews>
  <sheetFormatPr defaultColWidth="9" defaultRowHeight="14"/>
  <cols>
    <col min="1" max="1" width="10.9090909090909" customWidth="1"/>
    <col min="2" max="2" width="9.72727272727273"/>
    <col min="3" max="6" width="12.8181818181818"/>
    <col min="7" max="7" width="11.7272727272727"/>
    <col min="8" max="12" width="12.8181818181818"/>
  </cols>
  <sheetData>
    <row r="1" spans="1:12">
      <c r="A1" s="1"/>
      <c r="B1" s="1">
        <v>2023</v>
      </c>
      <c r="C1" s="1">
        <v>2022</v>
      </c>
      <c r="D1" s="1">
        <v>2021</v>
      </c>
      <c r="E1" s="1">
        <v>2020</v>
      </c>
      <c r="F1" s="1">
        <v>2019</v>
      </c>
      <c r="G1" s="1">
        <v>2018</v>
      </c>
      <c r="H1" s="1">
        <v>2017</v>
      </c>
      <c r="I1" s="1">
        <v>2016</v>
      </c>
      <c r="J1" s="1">
        <v>2015</v>
      </c>
      <c r="K1" s="1">
        <v>2014</v>
      </c>
      <c r="L1" s="8" t="s">
        <v>0</v>
      </c>
    </row>
    <row r="2" spans="1:12">
      <c r="A2" s="1" t="s">
        <v>1</v>
      </c>
      <c r="B2" s="2">
        <v>10539</v>
      </c>
      <c r="C2" s="2">
        <v>12072</v>
      </c>
      <c r="D2" s="2">
        <v>11739</v>
      </c>
      <c r="E2" s="2">
        <v>19958</v>
      </c>
      <c r="F2" s="2">
        <v>19257</v>
      </c>
      <c r="G2" s="2">
        <v>20814</v>
      </c>
      <c r="H2" s="2">
        <v>18480</v>
      </c>
      <c r="I2" s="2">
        <v>26220</v>
      </c>
      <c r="J2" s="2">
        <v>21770</v>
      </c>
      <c r="K2" s="2">
        <v>24890</v>
      </c>
      <c r="L2" s="6">
        <f>(E2+F2+G2+H2+I2+J2+K2+D2+C2+B2)/10</f>
        <v>18573.9</v>
      </c>
    </row>
    <row r="3" spans="1:12">
      <c r="A3" s="1" t="s">
        <v>2</v>
      </c>
      <c r="B3" s="3">
        <v>4797</v>
      </c>
      <c r="C3" s="3">
        <v>4373</v>
      </c>
      <c r="D3" s="3">
        <v>4682</v>
      </c>
      <c r="E3" s="3">
        <v>7993</v>
      </c>
      <c r="F3" s="3">
        <v>7913</v>
      </c>
      <c r="G3" s="3">
        <v>10569</v>
      </c>
      <c r="H3" s="3">
        <v>9200</v>
      </c>
      <c r="I3" s="3">
        <v>13670</v>
      </c>
      <c r="J3" s="3">
        <v>12380</v>
      </c>
      <c r="K3" s="3">
        <v>12680</v>
      </c>
      <c r="L3" s="6">
        <f>(E3+F3+G3+H3+I3+J3+K3+D3+C3+B3)/10</f>
        <v>8825.7</v>
      </c>
    </row>
    <row r="4" spans="1:12">
      <c r="A4" s="1" t="s">
        <v>3</v>
      </c>
      <c r="B4" s="4">
        <v>980</v>
      </c>
      <c r="C4" s="4">
        <v>1351.8</v>
      </c>
      <c r="D4" s="4">
        <v>1632.8</v>
      </c>
      <c r="E4" s="4">
        <v>2706</v>
      </c>
      <c r="F4" s="4">
        <v>2802</v>
      </c>
      <c r="G4" s="4">
        <v>2585</v>
      </c>
      <c r="H4" s="4">
        <v>1826.7</v>
      </c>
      <c r="I4" s="4">
        <v>2902.2</v>
      </c>
      <c r="J4" s="4">
        <v>2232.7</v>
      </c>
      <c r="K4" s="4">
        <v>3090.3</v>
      </c>
      <c r="L4" s="6">
        <f>(E4+F4+G4+H4+I4+J4+K4+D4+C4+B4)/10</f>
        <v>2210.95</v>
      </c>
    </row>
    <row r="5" spans="1:12">
      <c r="A5" s="1" t="s">
        <v>4</v>
      </c>
      <c r="B5" s="5">
        <v>171624.47</v>
      </c>
      <c r="C5" s="5">
        <v>169990.92</v>
      </c>
      <c r="D5" s="5">
        <v>168695.13</v>
      </c>
      <c r="E5" s="5">
        <v>167487.14</v>
      </c>
      <c r="F5" s="5">
        <v>165930.66</v>
      </c>
      <c r="G5" s="5">
        <v>165902.38</v>
      </c>
      <c r="H5" s="5">
        <v>166331.91</v>
      </c>
      <c r="I5" s="5">
        <v>166939.04</v>
      </c>
      <c r="J5" s="5">
        <v>166829.28</v>
      </c>
      <c r="K5" s="5">
        <v>165183.32</v>
      </c>
      <c r="L5" s="6">
        <f>(E5+F5+G5+H5+I5+J5+K5+D5+C5+B5)/10</f>
        <v>167491.425</v>
      </c>
    </row>
    <row r="6" spans="1:12">
      <c r="A6" s="6" t="s">
        <v>5</v>
      </c>
      <c r="B6" s="7">
        <f>(B5-0.1*B2-0.3*B3-0.7*B4)/B5</f>
        <v>0.98147700033684</v>
      </c>
      <c r="C6" s="7">
        <f t="shared" ref="C6:K6" si="0">(C5-0.1*C2-0.3*C3-0.7*C4)/C5</f>
        <v>0.979614440583062</v>
      </c>
      <c r="D6" s="7">
        <f t="shared" si="0"/>
        <v>0.977939730684579</v>
      </c>
      <c r="E6" s="7">
        <f t="shared" si="0"/>
        <v>0.962457416133561</v>
      </c>
      <c r="F6" s="7">
        <f t="shared" si="0"/>
        <v>0.962267371201923</v>
      </c>
      <c r="G6" s="7">
        <f t="shared" si="0"/>
        <v>0.957435209790239</v>
      </c>
      <c r="H6" s="7">
        <f t="shared" si="0"/>
        <v>0.96460877530956</v>
      </c>
      <c r="I6" s="7">
        <f t="shared" si="0"/>
        <v>0.947558462058965</v>
      </c>
      <c r="J6" s="7">
        <f t="shared" si="0"/>
        <v>0.955320253135421</v>
      </c>
      <c r="K6" s="7">
        <f t="shared" si="0"/>
        <v>0.948807119266037</v>
      </c>
      <c r="L6" s="6">
        <f>(E6+F6+G6+H6+I6+J6+K6+D6+C6+B6)/10</f>
        <v>0.963748577850019</v>
      </c>
    </row>
    <row r="11" spans="14:14">
      <c r="N11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黍离</cp:lastModifiedBy>
  <dcterms:created xsi:type="dcterms:W3CDTF">2023-05-12T11:15:00Z</dcterms:created>
  <dcterms:modified xsi:type="dcterms:W3CDTF">2024-09-08T06:18:35Z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DE1C9D3F9EDE4E0B9D34C629542647C5_12</vt:lpwstr>
  </property>
</Properties>
</file>